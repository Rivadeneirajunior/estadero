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Cálculo" sheetId="2" state="visible" r:id="rId4"/>
    <sheet name="E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<sst xmlns="http://schemas.openxmlformats.org/spreadsheetml/2006/main" count="91" uniqueCount="64">
  <si>
    <t xml:space="preserve">Supuesto</t>
  </si>
  <si>
    <t xml:space="preserve">Valor</t>
  </si>
  <si>
    <t xml:space="preserve">Unidad</t>
  </si>
  <si>
    <t xml:space="preserve">Tipo</t>
  </si>
  <si>
    <t xml:space="preserve">De dónde sale</t>
  </si>
  <si>
    <t xml:space="preserve">Rango posible</t>
  </si>
  <si>
    <t xml:space="preserve">Personas en el área de influencia</t>
  </si>
  <si>
    <t xml:space="preserve">personas</t>
  </si>
  <si>
    <t xml:space="preserve">Inventado para el ejercicio, sin evidencia. Reemplazar por cifra del DANE o del propietario</t>
  </si>
  <si>
    <t xml:space="preserve">Captura por día abierto</t>
  </si>
  <si>
    <t xml:space="preserve">% de las personas del área, por día abierto</t>
  </si>
  <si>
    <t xml:space="preserve">Inventado: 1 de cada 1.000 personas del área visita en un día abierto. Sin evidencia</t>
  </si>
  <si>
    <t xml:space="preserve">Precio por persona</t>
  </si>
  <si>
    <t xml:space="preserve">pesos por persona</t>
  </si>
  <si>
    <t xml:space="preserve">Inventado: gasto promedio por persona, por comprobar con ventas reales</t>
  </si>
  <si>
    <t xml:space="preserve">Costo por cliente</t>
  </si>
  <si>
    <t xml:space="preserve">Inventado: bebidas y comida, 40 % del gasto promedio</t>
  </si>
  <si>
    <t xml:space="preserve">Costos fijos adicionales al mes</t>
  </si>
  <si>
    <t xml:space="preserve">pesos al mes</t>
  </si>
  <si>
    <t xml:space="preserve">Inventado: personal de barra, cocina y seguridad, energía y música de los días extra</t>
  </si>
  <si>
    <t xml:space="preserve">Patrón de días abiertos entre semana</t>
  </si>
  <si>
    <t xml:space="preserve">1100111</t>
  </si>
  <si>
    <t xml:space="preserve">texto: lunes a domingo, 1 = cerrado, 0 = abierto</t>
  </si>
  <si>
    <t xml:space="preserve">Decisión del caso: abrir miércoles y jueves</t>
  </si>
  <si>
    <t xml:space="preserve">Variación de demanda, escenario pesimista</t>
  </si>
  <si>
    <t xml:space="preserve">% frente al caso base</t>
  </si>
  <si>
    <t xml:space="preserve">Inventado: entre semana se llena 30 % menos de lo esperado</t>
  </si>
  <si>
    <t xml:space="preserve">Variación de demanda, escenario base</t>
  </si>
  <si>
    <t xml:space="preserve">Caso base, sin cambio</t>
  </si>
  <si>
    <t xml:space="preserve">Variación de demanda, escenario optimista</t>
  </si>
  <si>
    <t xml:space="preserve">Inventado: entre semana se llena 20 % más de lo esperado</t>
  </si>
  <si>
    <t xml:space="preserve">Mes</t>
  </si>
  <si>
    <t xml:space="preserve">Días abiertos</t>
  </si>
  <si>
    <t xml:space="preserve">Clientes</t>
  </si>
  <si>
    <t xml:space="preserve">Ingresos</t>
  </si>
  <si>
    <t xml:space="preserve">Costos variables</t>
  </si>
  <si>
    <t xml:space="preserve">Costos fijos</t>
  </si>
  <si>
    <t xml:space="preserve">Utilidad</t>
  </si>
  <si>
    <t xml:space="preserve">Utilidad acumulada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</si>
  <si>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</si>
  <si>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</si>
  <si>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</si>
  <si>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</si>
  <si>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</si>
  <si>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</si>
  <si>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</si>
  <si>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</si>
  <si>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</si>
  <si>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</si>
  <si>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</si>
  <si>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</si>
  <si>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</si>
  <si>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Punto de equilibrio (clientes al mes)</t>
  </si>
  <si>
    <t xml:space="preserve">Meses con pérdida</t>
  </si>
  <si>
    <t xml:space="preserve">Reserva necesaria</t>
  </si>
  <si>
    <t xml:space="preserve">Captura de equilibrio (% de las personas del área, por día abierto)</t>
  </si>
  <si>
    <t xml:space="preserve">Pesimista</t>
  </si>
  <si>
    <t xml:space="preserve">Base</t>
  </si>
  <si>
    <t xml:space="preserve">Optimista</t>
  </si>
  <si>
    <t xml:space="preserve">Acum. pesimista</t>
  </si>
  <si>
    <t xml:space="preserve">Acum. base</t>
  </si>
  <si>
    <t xml:space="preserve">Acum. optimista</t>
  </si>
  <si>
    <t xml:space="preserve">Utilidad del año</t>
  </si>
  <si>
    <t xml:space="preserve">Variación de demanda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</si>
</sst>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&quot;± &quot;0%"/>
    <numFmt numFmtId="167" formatCode="0.00%"/>
    <numFmt numFmtId="168" formatCode="@"/>
    <numFmt numFmtId="169" formatCode="0%"/>
    <numFmt numFmtId="170" formatCode="#,##0;\-#,##0;0"/>
    <numFmt numFmtId="171" formatCode="#,##0.0"/>
    <numFmt numFmtId="172" formatCode="0.0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6B3F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3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8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50000</v>
      </c>
      <c r="C2" s="2" t="s">
        <v>7</v>
      </c>
      <c r="D2" s="2" t="s">
        <v>0</v>
      </c>
      <c r="E2" s="2" t="s">
        <v>8</v>
      </c>
      <c r="F2" s="4" t="n">
        <v>0.25</v>
      </c>
    </row>
    <row r="3" customFormat="false" ht="15" hidden="false" customHeight="false" outlineLevel="0" collapsed="false">
      <c r="A3" s="2" t="s">
        <v>9</v>
      </c>
      <c r="B3" s="5" t="n">
        <v>0.001</v>
      </c>
      <c r="C3" s="2" t="s">
        <v>10</v>
      </c>
      <c r="D3" s="2" t="s">
        <v>0</v>
      </c>
      <c r="E3" s="2" t="s">
        <v>11</v>
      </c>
      <c r="F3" s="4" t="n">
        <v>0.5</v>
      </c>
    </row>
    <row r="4" customFormat="false" ht="15" hidden="false" customHeight="false" outlineLevel="0" collapsed="false">
      <c r="A4" s="2" t="s">
        <v>12</v>
      </c>
      <c r="B4" s="3" t="n">
        <v>45000</v>
      </c>
      <c r="C4" s="2" t="s">
        <v>13</v>
      </c>
      <c r="D4" s="2" t="s">
        <v>0</v>
      </c>
      <c r="E4" s="2" t="s">
        <v>14</v>
      </c>
      <c r="F4" s="4" t="n">
        <v>0.1</v>
      </c>
    </row>
    <row r="5" customFormat="false" ht="15" hidden="false" customHeight="false" outlineLevel="0" collapsed="false">
      <c r="A5" s="2" t="s">
        <v>15</v>
      </c>
      <c r="B5" s="3" t="n">
        <v>18000</v>
      </c>
      <c r="C5" s="2" t="s">
        <v>13</v>
      </c>
      <c r="D5" s="2" t="s">
        <v>0</v>
      </c>
      <c r="E5" s="2" t="s">
        <v>16</v>
      </c>
      <c r="F5" s="4" t="n">
        <v>0.1</v>
      </c>
    </row>
    <row r="6" customFormat="false" ht="15" hidden="false" customHeight="false" outlineLevel="0" collapsed="false">
      <c r="A6" s="2" t="s">
        <v>17</v>
      </c>
      <c r="B6" s="3" t="n">
        <v>9000000</v>
      </c>
      <c r="C6" s="2" t="s">
        <v>18</v>
      </c>
      <c r="D6" s="2" t="s">
        <v>0</v>
      </c>
      <c r="E6" s="2" t="s">
        <v>19</v>
      </c>
      <c r="F6" s="4" t="n">
        <v>0.1</v>
      </c>
    </row>
    <row r="7" customFormat="false" ht="15" hidden="false" customHeight="false" outlineLevel="0" collapsed="false">
      <c r="A7" s="2" t="s">
        <v>20</v>
      </c>
      <c r="B7" s="6" t="s">
        <v>21</v>
      </c>
      <c r="C7" s="2" t="s">
        <v>22</v>
      </c>
      <c r="D7" s="2" t="s">
        <v>0</v>
      </c>
      <c r="E7" s="2" t="s">
        <v>23</v>
      </c>
      <c r="F7" s="4" t="n">
        <v>0</v>
      </c>
    </row>
    <row r="8" customFormat="false" ht="15" hidden="false" customHeight="false" outlineLevel="0" collapsed="false">
      <c r="A8" s="2" t="s">
        <v>24</v>
      </c>
      <c r="B8" s="7" t="n">
        <v>-0.3</v>
      </c>
      <c r="C8" s="2" t="s">
        <v>25</v>
      </c>
      <c r="D8" s="2" t="s">
        <v>0</v>
      </c>
      <c r="E8" s="2" t="s">
        <v>26</v>
      </c>
      <c r="F8" s="4" t="n">
        <v>0</v>
      </c>
    </row>
    <row r="9" customFormat="false" ht="15" hidden="false" customHeight="false" outlineLevel="0" collapsed="false">
      <c r="A9" s="2" t="s">
        <v>27</v>
      </c>
      <c r="B9" s="7" t="n">
        <v>0</v>
      </c>
      <c r="C9" s="2" t="s">
        <v>25</v>
      </c>
      <c r="D9" s="2" t="s">
        <v>0</v>
      </c>
      <c r="E9" s="2" t="s">
        <v>28</v>
      </c>
      <c r="F9" s="4" t="n">
        <v>0</v>
      </c>
    </row>
    <row r="10" customFormat="false" ht="15" hidden="false" customHeight="false" outlineLevel="0" collapsed="false">
      <c r="A10" s="2" t="s">
        <v>29</v>
      </c>
      <c r="B10" s="7" t="n">
        <v>0.2</v>
      </c>
      <c r="C10" s="2" t="s">
        <v>25</v>
      </c>
      <c r="D10" s="2" t="s">
        <v>0</v>
      </c>
      <c r="E10" s="2" t="s">
        <v>30</v>
      </c>
      <c r="F10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customFormat="false" ht="15" hidden="false" customHeight="false" outlineLevel="0" collapsed="false">
      <c r="A2" s="2" t="s">
        <v>39</v>
      </c>
      <c r="B2" s="8" t="n">
        <f aca="false">NETWORKDAYS.INTL(DATE(2027,1,1),EOMONTH(DATE(2027,1,1),0),Supuestos!$B$7)</f>
        <v>8</v>
      </c>
      <c r="C2" s="8" t="n">
        <f aca="false">ROUND(B2*Supuestos!$B$2*Supuestos!$B$3,0)</f>
        <v>400</v>
      </c>
      <c r="D2" s="8" t="n">
        <f aca="false">C2*Supuestos!$B$4</f>
        <v>18000000</v>
      </c>
      <c r="E2" s="8" t="n">
        <f aca="false">C2*Supuestos!$B$5</f>
        <v>7200000</v>
      </c>
      <c r="F2" s="8" t="n">
        <f aca="false">Supuestos!$B$6</f>
        <v>9000000</v>
      </c>
      <c r="G2" s="8" t="n">
        <f aca="false">D2-E2-F2</f>
        <v>1800000</v>
      </c>
      <c r="H2" s="8" t="n">
        <f aca="false">SUM($G$2:G2)</f>
        <v>1800000</v>
      </c>
    </row>
    <row r="3" customFormat="false" ht="15" hidden="false" customHeight="false" outlineLevel="0" collapsed="false">
      <c r="A3" s="2" t="s">
        <v>40</v>
      </c>
      <c r="B3" s="8" t="n">
        <f aca="false">NETWORKDAYS.INTL(DATE(2027,2,1),EOMONTH(DATE(2027,2,1),0),Supuestos!$B$7)</f>
        <v>8</v>
      </c>
      <c r="C3" s="8" t="n">
        <f aca="false">ROUND(B3*Supuestos!$B$2*Supuestos!$B$3,0)</f>
        <v>400</v>
      </c>
      <c r="D3" s="8" t="n">
        <f aca="false">C3*Supuestos!$B$4</f>
        <v>18000000</v>
      </c>
      <c r="E3" s="8" t="n">
        <f aca="false">C3*Supuestos!$B$5</f>
        <v>7200000</v>
      </c>
      <c r="F3" s="8" t="n">
        <f aca="false">Supuestos!$B$6</f>
        <v>9000000</v>
      </c>
      <c r="G3" s="8" t="n">
        <f aca="false">D3-E3-F3</f>
        <v>1800000</v>
      </c>
      <c r="H3" s="8" t="n">
        <f aca="false">SUM($G$2:G3)</f>
        <v>3600000</v>
      </c>
    </row>
    <row r="4" customFormat="false" ht="15" hidden="false" customHeight="false" outlineLevel="0" collapsed="false">
      <c r="A4" s="2" t="s">
        <v>41</v>
      </c>
      <c r="B4" s="8" t="n">
        <f aca="false">NETWORKDAYS.INTL(DATE(2027,3,1),EOMONTH(DATE(2027,3,1),0),Supuestos!$B$7)</f>
        <v>9</v>
      </c>
      <c r="C4" s="8" t="n">
        <f aca="false">ROUND(B4*Supuestos!$B$2*Supuestos!$B$3,0)</f>
        <v>450</v>
      </c>
      <c r="D4" s="8" t="n">
        <f aca="false">C4*Supuestos!$B$4</f>
        <v>20250000</v>
      </c>
      <c r="E4" s="8" t="n">
        <f aca="false">C4*Supuestos!$B$5</f>
        <v>8100000</v>
      </c>
      <c r="F4" s="8" t="n">
        <f aca="false">Supuestos!$B$6</f>
        <v>9000000</v>
      </c>
      <c r="G4" s="8" t="n">
        <f aca="false">D4-E4-F4</f>
        <v>3150000</v>
      </c>
      <c r="H4" s="8" t="n">
        <f aca="false">SUM($G$2:G4)</f>
        <v>6750000</v>
      </c>
    </row>
    <row r="5" customFormat="false" ht="15" hidden="false" customHeight="false" outlineLevel="0" collapsed="false">
      <c r="A5" s="2" t="s">
        <v>42</v>
      </c>
      <c r="B5" s="8" t="n">
        <f aca="false">NETWORKDAYS.INTL(DATE(2027,4,1),EOMONTH(DATE(2027,4,1),0),Supuestos!$B$7)</f>
        <v>9</v>
      </c>
      <c r="C5" s="8" t="n">
        <f aca="false">ROUND(B5*Supuestos!$B$2*Supuestos!$B$3,0)</f>
        <v>450</v>
      </c>
      <c r="D5" s="8" t="n">
        <f aca="false">C5*Supuestos!$B$4</f>
        <v>20250000</v>
      </c>
      <c r="E5" s="8" t="n">
        <f aca="false">C5*Supuestos!$B$5</f>
        <v>8100000</v>
      </c>
      <c r="F5" s="8" t="n">
        <f aca="false">Supuestos!$B$6</f>
        <v>9000000</v>
      </c>
      <c r="G5" s="8" t="n">
        <f aca="false">D5-E5-F5</f>
        <v>3150000</v>
      </c>
      <c r="H5" s="8" t="n">
        <f aca="false">SUM($G$2:G5)</f>
        <v>9900000</v>
      </c>
    </row>
    <row r="6" customFormat="false" ht="15" hidden="false" customHeight="false" outlineLevel="0" collapsed="false">
      <c r="A6" s="2" t="s">
        <v>43</v>
      </c>
      <c r="B6" s="8" t="n">
        <f aca="false">NETWORKDAYS.INTL(DATE(2027,5,1),EOMONTH(DATE(2027,5,1),0),Supuestos!$B$7)</f>
        <v>8</v>
      </c>
      <c r="C6" s="8" t="n">
        <f aca="false">ROUND(B6*Supuestos!$B$2*Supuestos!$B$3,0)</f>
        <v>400</v>
      </c>
      <c r="D6" s="8" t="n">
        <f aca="false">C6*Supuestos!$B$4</f>
        <v>18000000</v>
      </c>
      <c r="E6" s="8" t="n">
        <f aca="false">C6*Supuestos!$B$5</f>
        <v>7200000</v>
      </c>
      <c r="F6" s="8" t="n">
        <f aca="false">Supuestos!$B$6</f>
        <v>9000000</v>
      </c>
      <c r="G6" s="8" t="n">
        <f aca="false">D6-E6-F6</f>
        <v>1800000</v>
      </c>
      <c r="H6" s="8" t="n">
        <f aca="false">SUM($G$2:G6)</f>
        <v>11700000</v>
      </c>
    </row>
    <row r="7" customFormat="false" ht="15" hidden="false" customHeight="false" outlineLevel="0" collapsed="false">
      <c r="A7" s="2" t="s">
        <v>44</v>
      </c>
      <c r="B7" s="8" t="n">
        <f aca="false">NETWORKDAYS.INTL(DATE(2027,6,1),EOMONTH(DATE(2027,6,1),0),Supuestos!$B$7)</f>
        <v>9</v>
      </c>
      <c r="C7" s="8" t="n">
        <f aca="false">ROUND(B7*Supuestos!$B$2*Supuestos!$B$3,0)</f>
        <v>450</v>
      </c>
      <c r="D7" s="8" t="n">
        <f aca="false">C7*Supuestos!$B$4</f>
        <v>20250000</v>
      </c>
      <c r="E7" s="8" t="n">
        <f aca="false">C7*Supuestos!$B$5</f>
        <v>8100000</v>
      </c>
      <c r="F7" s="8" t="n">
        <f aca="false">Supuestos!$B$6</f>
        <v>9000000</v>
      </c>
      <c r="G7" s="8" t="n">
        <f aca="false">D7-E7-F7</f>
        <v>3150000</v>
      </c>
      <c r="H7" s="8" t="n">
        <f aca="false">SUM($G$2:G7)</f>
        <v>14850000</v>
      </c>
    </row>
    <row r="8" customFormat="false" ht="15" hidden="false" customHeight="false" outlineLevel="0" collapsed="false">
      <c r="A8" s="2" t="s">
        <v>45</v>
      </c>
      <c r="B8" s="8" t="n">
        <f aca="false">NETWORKDAYS.INTL(DATE(2027,7,1),EOMONTH(DATE(2027,7,1),0),Supuestos!$B$7)</f>
        <v>9</v>
      </c>
      <c r="C8" s="8" t="n">
        <f aca="false">ROUND(B8*Supuestos!$B$2*Supuestos!$B$3,0)</f>
        <v>450</v>
      </c>
      <c r="D8" s="8" t="n">
        <f aca="false">C8*Supuestos!$B$4</f>
        <v>20250000</v>
      </c>
      <c r="E8" s="8" t="n">
        <f aca="false">C8*Supuestos!$B$5</f>
        <v>8100000</v>
      </c>
      <c r="F8" s="8" t="n">
        <f aca="false">Supuestos!$B$6</f>
        <v>9000000</v>
      </c>
      <c r="G8" s="8" t="n">
        <f aca="false">D8-E8-F8</f>
        <v>3150000</v>
      </c>
      <c r="H8" s="8" t="n">
        <f aca="false">SUM($G$2:G8)</f>
        <v>18000000</v>
      </c>
    </row>
    <row r="9" customFormat="false" ht="15" hidden="false" customHeight="false" outlineLevel="0" collapsed="false">
      <c r="A9" s="2" t="s">
        <v>46</v>
      </c>
      <c r="B9" s="8" t="n">
        <f aca="false">NETWORKDAYS.INTL(DATE(2027,8,1),EOMONTH(DATE(2027,8,1),0),Supuestos!$B$7)</f>
        <v>8</v>
      </c>
      <c r="C9" s="8" t="n">
        <f aca="false">ROUND(B9*Supuestos!$B$2*Supuestos!$B$3,0)</f>
        <v>400</v>
      </c>
      <c r="D9" s="8" t="n">
        <f aca="false">C9*Supuestos!$B$4</f>
        <v>18000000</v>
      </c>
      <c r="E9" s="8" t="n">
        <f aca="false">C9*Supuestos!$B$5</f>
        <v>7200000</v>
      </c>
      <c r="F9" s="8" t="n">
        <f aca="false">Supuestos!$B$6</f>
        <v>9000000</v>
      </c>
      <c r="G9" s="8" t="n">
        <f aca="false">D9-E9-F9</f>
        <v>1800000</v>
      </c>
      <c r="H9" s="8" t="n">
        <f aca="false">SUM($G$2:G9)</f>
        <v>19800000</v>
      </c>
    </row>
    <row r="10" customFormat="false" ht="15" hidden="false" customHeight="false" outlineLevel="0" collapsed="false">
      <c r="A10" s="2" t="s">
        <v>47</v>
      </c>
      <c r="B10" s="8" t="n">
        <f aca="false">NETWORKDAYS.INTL(DATE(2027,9,1),EOMONTH(DATE(2027,9,1),0),Supuestos!$B$7)</f>
        <v>10</v>
      </c>
      <c r="C10" s="8" t="n">
        <f aca="false">ROUND(B10*Supuestos!$B$2*Supuestos!$B$3,0)</f>
        <v>500</v>
      </c>
      <c r="D10" s="8" t="n">
        <f aca="false">C10*Supuestos!$B$4</f>
        <v>22500000</v>
      </c>
      <c r="E10" s="8" t="n">
        <f aca="false">C10*Supuestos!$B$5</f>
        <v>9000000</v>
      </c>
      <c r="F10" s="8" t="n">
        <f aca="false">Supuestos!$B$6</f>
        <v>9000000</v>
      </c>
      <c r="G10" s="8" t="n">
        <f aca="false">D10-E10-F10</f>
        <v>4500000</v>
      </c>
      <c r="H10" s="8" t="n">
        <f aca="false">SUM($G$2:G10)</f>
        <v>24300000</v>
      </c>
    </row>
    <row r="11" customFormat="false" ht="15" hidden="false" customHeight="false" outlineLevel="0" collapsed="false">
      <c r="A11" s="2" t="s">
        <v>48</v>
      </c>
      <c r="B11" s="8" t="n">
        <f aca="false">NETWORKDAYS.INTL(DATE(2027,10,1),EOMONTH(DATE(2027,10,1),0),Supuestos!$B$7)</f>
        <v>8</v>
      </c>
      <c r="C11" s="8" t="n">
        <f aca="false">ROUND(B11*Supuestos!$B$2*Supuestos!$B$3,0)</f>
        <v>400</v>
      </c>
      <c r="D11" s="8" t="n">
        <f aca="false">C11*Supuestos!$B$4</f>
        <v>18000000</v>
      </c>
      <c r="E11" s="8" t="n">
        <f aca="false">C11*Supuestos!$B$5</f>
        <v>7200000</v>
      </c>
      <c r="F11" s="8" t="n">
        <f aca="false">Supuestos!$B$6</f>
        <v>9000000</v>
      </c>
      <c r="G11" s="8" t="n">
        <f aca="false">D11-E11-F11</f>
        <v>1800000</v>
      </c>
      <c r="H11" s="8" t="n">
        <f aca="false">SUM($G$2:G11)</f>
        <v>26100000</v>
      </c>
    </row>
    <row r="12" customFormat="false" ht="15" hidden="false" customHeight="false" outlineLevel="0" collapsed="false">
      <c r="A12" s="2" t="s">
        <v>49</v>
      </c>
      <c r="B12" s="8" t="n">
        <f aca="false">NETWORKDAYS.INTL(DATE(2027,11,1),EOMONTH(DATE(2027,11,1),0),Supuestos!$B$7)</f>
        <v>8</v>
      </c>
      <c r="C12" s="8" t="n">
        <f aca="false">ROUND(B12*Supuestos!$B$2*Supuestos!$B$3,0)</f>
        <v>400</v>
      </c>
      <c r="D12" s="8" t="n">
        <f aca="false">C12*Supuestos!$B$4</f>
        <v>18000000</v>
      </c>
      <c r="E12" s="8" t="n">
        <f aca="false">C12*Supuestos!$B$5</f>
        <v>7200000</v>
      </c>
      <c r="F12" s="8" t="n">
        <f aca="false">Supuestos!$B$6</f>
        <v>9000000</v>
      </c>
      <c r="G12" s="8" t="n">
        <f aca="false">D12-E12-F12</f>
        <v>1800000</v>
      </c>
      <c r="H12" s="8" t="n">
        <f aca="false">SUM($G$2:G12)</f>
        <v>27900000</v>
      </c>
    </row>
    <row r="13" customFormat="false" ht="15" hidden="false" customHeight="false" outlineLevel="0" collapsed="false">
      <c r="A13" s="2" t="s">
        <v>50</v>
      </c>
      <c r="B13" s="8" t="n">
        <f aca="false">NETWORKDAYS.INTL(DATE(2027,12,1),EOMONTH(DATE(2027,12,1),0),Supuestos!$B$7)</f>
        <v>10</v>
      </c>
      <c r="C13" s="8" t="n">
        <f aca="false">ROUND(B13*Supuestos!$B$2*Supuestos!$B$3,0)</f>
        <v>500</v>
      </c>
      <c r="D13" s="8" t="n">
        <f aca="false">C13*Supuestos!$B$4</f>
        <v>22500000</v>
      </c>
      <c r="E13" s="8" t="n">
        <f aca="false">C13*Supuestos!$B$5</f>
        <v>9000000</v>
      </c>
      <c r="F13" s="8" t="n">
        <f aca="false">Supuestos!$B$6</f>
        <v>9000000</v>
      </c>
      <c r="G13" s="8" t="n">
        <f aca="false">D13-E13-F13</f>
        <v>4500000</v>
      </c>
      <c r="H13" s="8" t="n">
        <f aca="false">SUM($G$2:G13)</f>
        <v>32400000</v>
      </c>
    </row>
    <row r="14" customFormat="false" ht="15" hidden="false" customHeight="false" outlineLevel="0" collapsed="false">
      <c r="A14" s="2" t="s">
        <v>51</v>
      </c>
      <c r="B14" s="8" t="n">
        <f aca="false">SUM(B2:B13)</f>
        <v>104</v>
      </c>
      <c r="C14" s="8" t="n">
        <f aca="false">SUM(C2:C13)</f>
        <v>5200</v>
      </c>
      <c r="D14" s="8" t="n">
        <f aca="false">SUM(D2:D13)</f>
        <v>234000000</v>
      </c>
      <c r="E14" s="8" t="n">
        <f aca="false">SUM(E2:E13)</f>
        <v>93600000</v>
      </c>
      <c r="F14" s="8" t="n">
        <f aca="false">SUM(F2:F13)</f>
        <v>108000000</v>
      </c>
      <c r="G14" s="8" t="n">
        <f aca="false">SUM(G2:G13)</f>
        <v>32400000</v>
      </c>
      <c r="H14" s="8"/>
    </row>
    <row r="15" customFormat="false" ht="15" hidden="false" customHeight="false" outlineLevel="0" collapsed="false">
      <c r="A15" s="2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2" t="s">
        <v>52</v>
      </c>
      <c r="B16" s="9" t="n">
        <f aca="false">Supuestos!B6/(Supuestos!B4-Supuestos!B5)</f>
        <v>333.333333333333</v>
      </c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2" t="s">
        <v>53</v>
      </c>
      <c r="B17" s="8" t="n">
        <f aca="false">COUNTIF(G2:G13,"&lt;0")</f>
        <v>0</v>
      </c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2" t="s">
        <v>54</v>
      </c>
      <c r="B18" s="8" t="n">
        <f aca="false">MAX(0,-MIN(H2:H13))</f>
        <v>0</v>
      </c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2" t="s">
        <v>55</v>
      </c>
      <c r="B19" s="10" t="n">
        <f aca="false">(Supuestos!B6*12/(Supuestos!B4-Supuestos!B5))/(B14*Supuestos!B2)</f>
        <v>0.000769230769230769</v>
      </c>
      <c r="C19" s="8"/>
      <c r="D19" s="8"/>
      <c r="E19" s="8"/>
      <c r="F19" s="8"/>
      <c r="G19" s="8"/>
      <c r="H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1" t="s">
        <v>31</v>
      </c>
      <c r="B1" s="11" t="s">
        <v>56</v>
      </c>
      <c r="C1" s="11" t="s">
        <v>57</v>
      </c>
      <c r="D1" s="11" t="s">
        <v>58</v>
      </c>
      <c r="E1" s="11" t="s">
        <v>59</v>
      </c>
      <c r="F1" s="11" t="s">
        <v>60</v>
      </c>
      <c r="G1" s="11" t="s">
        <v>61</v>
      </c>
    </row>
    <row r="2" customFormat="false" ht="15" hidden="false" customHeight="false" outlineLevel="0" collapsed="false">
      <c r="A2" s="8" t="s">
        <v>39</v>
      </c>
      <c r="B2" s="8" t="n">
        <f aca="false">ROUND(Cálculo!$B2*Supuestos!$B$2*Supuestos!$B$3*(1+B$17),0)*(Supuestos!$B$4-Supuestos!$B$5)-Supuestos!$B$6</f>
        <v>-1440000</v>
      </c>
      <c r="C2" s="8" t="n">
        <f aca="false">ROUND(Cálculo!$B2*Supuestos!$B$2*Supuestos!$B$3*(1+C$17),0)*(Supuestos!$B$4-Supuestos!$B$5)-Supuestos!$B$6</f>
        <v>1800000</v>
      </c>
      <c r="D2" s="8" t="n">
        <f aca="false">ROUND(Cálculo!$B2*Supuestos!$B$2*Supuestos!$B$3*(1+D$17),0)*(Supuestos!$B$4-Supuestos!$B$5)-Supuestos!$B$6</f>
        <v>3960000</v>
      </c>
      <c r="E2" s="8" t="n">
        <f aca="false">SUM(B$2:B2)</f>
        <v>-1440000</v>
      </c>
      <c r="F2" s="8" t="n">
        <f aca="false">SUM(C$2:C2)</f>
        <v>1800000</v>
      </c>
      <c r="G2" s="8" t="n">
        <f aca="false">SUM(D$2:D2)</f>
        <v>3960000</v>
      </c>
    </row>
    <row r="3" customFormat="false" ht="15" hidden="false" customHeight="false" outlineLevel="0" collapsed="false">
      <c r="A3" s="8" t="s">
        <v>40</v>
      </c>
      <c r="B3" s="8" t="n">
        <f aca="false">ROUND(Cálculo!$B3*Supuestos!$B$2*Supuestos!$B$3*(1+B$17),0)*(Supuestos!$B$4-Supuestos!$B$5)-Supuestos!$B$6</f>
        <v>-1440000</v>
      </c>
      <c r="C3" s="8" t="n">
        <f aca="false">ROUND(Cálculo!$B3*Supuestos!$B$2*Supuestos!$B$3*(1+C$17),0)*(Supuestos!$B$4-Supuestos!$B$5)-Supuestos!$B$6</f>
        <v>1800000</v>
      </c>
      <c r="D3" s="8" t="n">
        <f aca="false">ROUND(Cálculo!$B3*Supuestos!$B$2*Supuestos!$B$3*(1+D$17),0)*(Supuestos!$B$4-Supuestos!$B$5)-Supuestos!$B$6</f>
        <v>3960000</v>
      </c>
      <c r="E3" s="8" t="n">
        <f aca="false">SUM(B$2:B3)</f>
        <v>-2880000</v>
      </c>
      <c r="F3" s="8" t="n">
        <f aca="false">SUM(C$2:C3)</f>
        <v>3600000</v>
      </c>
      <c r="G3" s="8" t="n">
        <f aca="false">SUM(D$2:D3)</f>
        <v>7920000</v>
      </c>
    </row>
    <row r="4" customFormat="false" ht="15" hidden="false" customHeight="false" outlineLevel="0" collapsed="false">
      <c r="A4" s="8" t="s">
        <v>41</v>
      </c>
      <c r="B4" s="8" t="n">
        <f aca="false">ROUND(Cálculo!$B4*Supuestos!$B$2*Supuestos!$B$3*(1+B$17),0)*(Supuestos!$B$4-Supuestos!$B$5)-Supuestos!$B$6</f>
        <v>-495000</v>
      </c>
      <c r="C4" s="8" t="n">
        <f aca="false">ROUND(Cálculo!$B4*Supuestos!$B$2*Supuestos!$B$3*(1+C$17),0)*(Supuestos!$B$4-Supuestos!$B$5)-Supuestos!$B$6</f>
        <v>3150000</v>
      </c>
      <c r="D4" s="8" t="n">
        <f aca="false">ROUND(Cálculo!$B4*Supuestos!$B$2*Supuestos!$B$3*(1+D$17),0)*(Supuestos!$B$4-Supuestos!$B$5)-Supuestos!$B$6</f>
        <v>5580000</v>
      </c>
      <c r="E4" s="8" t="n">
        <f aca="false">SUM(B$2:B4)</f>
        <v>-3375000</v>
      </c>
      <c r="F4" s="8" t="n">
        <f aca="false">SUM(C$2:C4)</f>
        <v>6750000</v>
      </c>
      <c r="G4" s="8" t="n">
        <f aca="false">SUM(D$2:D4)</f>
        <v>13500000</v>
      </c>
    </row>
    <row r="5" customFormat="false" ht="15" hidden="false" customHeight="false" outlineLevel="0" collapsed="false">
      <c r="A5" s="8" t="s">
        <v>42</v>
      </c>
      <c r="B5" s="8" t="n">
        <f aca="false">ROUND(Cálculo!$B5*Supuestos!$B$2*Supuestos!$B$3*(1+B$17),0)*(Supuestos!$B$4-Supuestos!$B$5)-Supuestos!$B$6</f>
        <v>-495000</v>
      </c>
      <c r="C5" s="8" t="n">
        <f aca="false">ROUND(Cálculo!$B5*Supuestos!$B$2*Supuestos!$B$3*(1+C$17),0)*(Supuestos!$B$4-Supuestos!$B$5)-Supuestos!$B$6</f>
        <v>3150000</v>
      </c>
      <c r="D5" s="8" t="n">
        <f aca="false">ROUND(Cálculo!$B5*Supuestos!$B$2*Supuestos!$B$3*(1+D$17),0)*(Supuestos!$B$4-Supuestos!$B$5)-Supuestos!$B$6</f>
        <v>5580000</v>
      </c>
      <c r="E5" s="8" t="n">
        <f aca="false">SUM(B$2:B5)</f>
        <v>-3870000</v>
      </c>
      <c r="F5" s="8" t="n">
        <f aca="false">SUM(C$2:C5)</f>
        <v>9900000</v>
      </c>
      <c r="G5" s="8" t="n">
        <f aca="false">SUM(D$2:D5)</f>
        <v>19080000</v>
      </c>
    </row>
    <row r="6" customFormat="false" ht="15" hidden="false" customHeight="false" outlineLevel="0" collapsed="false">
      <c r="A6" s="8" t="s">
        <v>43</v>
      </c>
      <c r="B6" s="8" t="n">
        <f aca="false">ROUND(Cálculo!$B6*Supuestos!$B$2*Supuestos!$B$3*(1+B$17),0)*(Supuestos!$B$4-Supuestos!$B$5)-Supuestos!$B$6</f>
        <v>-1440000</v>
      </c>
      <c r="C6" s="8" t="n">
        <f aca="false">ROUND(Cálculo!$B6*Supuestos!$B$2*Supuestos!$B$3*(1+C$17),0)*(Supuestos!$B$4-Supuestos!$B$5)-Supuestos!$B$6</f>
        <v>1800000</v>
      </c>
      <c r="D6" s="8" t="n">
        <f aca="false">ROUND(Cálculo!$B6*Supuestos!$B$2*Supuestos!$B$3*(1+D$17),0)*(Supuestos!$B$4-Supuestos!$B$5)-Supuestos!$B$6</f>
        <v>3960000</v>
      </c>
      <c r="E6" s="8" t="n">
        <f aca="false">SUM(B$2:B6)</f>
        <v>-5310000</v>
      </c>
      <c r="F6" s="8" t="n">
        <f aca="false">SUM(C$2:C6)</f>
        <v>11700000</v>
      </c>
      <c r="G6" s="8" t="n">
        <f aca="false">SUM(D$2:D6)</f>
        <v>23040000</v>
      </c>
    </row>
    <row r="7" customFormat="false" ht="15" hidden="false" customHeight="false" outlineLevel="0" collapsed="false">
      <c r="A7" s="8" t="s">
        <v>44</v>
      </c>
      <c r="B7" s="8" t="n">
        <f aca="false">ROUND(Cálculo!$B7*Supuestos!$B$2*Supuestos!$B$3*(1+B$17),0)*(Supuestos!$B$4-Supuestos!$B$5)-Supuestos!$B$6</f>
        <v>-495000</v>
      </c>
      <c r="C7" s="8" t="n">
        <f aca="false">ROUND(Cálculo!$B7*Supuestos!$B$2*Supuestos!$B$3*(1+C$17),0)*(Supuestos!$B$4-Supuestos!$B$5)-Supuestos!$B$6</f>
        <v>3150000</v>
      </c>
      <c r="D7" s="8" t="n">
        <f aca="false">ROUND(Cálculo!$B7*Supuestos!$B$2*Supuestos!$B$3*(1+D$17),0)*(Supuestos!$B$4-Supuestos!$B$5)-Supuestos!$B$6</f>
        <v>5580000</v>
      </c>
      <c r="E7" s="8" t="n">
        <f aca="false">SUM(B$2:B7)</f>
        <v>-5805000</v>
      </c>
      <c r="F7" s="8" t="n">
        <f aca="false">SUM(C$2:C7)</f>
        <v>14850000</v>
      </c>
      <c r="G7" s="8" t="n">
        <f aca="false">SUM(D$2:D7)</f>
        <v>28620000</v>
      </c>
    </row>
    <row r="8" customFormat="false" ht="15" hidden="false" customHeight="false" outlineLevel="0" collapsed="false">
      <c r="A8" s="8" t="s">
        <v>45</v>
      </c>
      <c r="B8" s="8" t="n">
        <f aca="false">ROUND(Cálculo!$B8*Supuestos!$B$2*Supuestos!$B$3*(1+B$17),0)*(Supuestos!$B$4-Supuestos!$B$5)-Supuestos!$B$6</f>
        <v>-495000</v>
      </c>
      <c r="C8" s="8" t="n">
        <f aca="false">ROUND(Cálculo!$B8*Supuestos!$B$2*Supuestos!$B$3*(1+C$17),0)*(Supuestos!$B$4-Supuestos!$B$5)-Supuestos!$B$6</f>
        <v>3150000</v>
      </c>
      <c r="D8" s="8" t="n">
        <f aca="false">ROUND(Cálculo!$B8*Supuestos!$B$2*Supuestos!$B$3*(1+D$17),0)*(Supuestos!$B$4-Supuestos!$B$5)-Supuestos!$B$6</f>
        <v>5580000</v>
      </c>
      <c r="E8" s="8" t="n">
        <f aca="false">SUM(B$2:B8)</f>
        <v>-6300000</v>
      </c>
      <c r="F8" s="8" t="n">
        <f aca="false">SUM(C$2:C8)</f>
        <v>18000000</v>
      </c>
      <c r="G8" s="8" t="n">
        <f aca="false">SUM(D$2:D8)</f>
        <v>34200000</v>
      </c>
    </row>
    <row r="9" customFormat="false" ht="15" hidden="false" customHeight="false" outlineLevel="0" collapsed="false">
      <c r="A9" s="8" t="s">
        <v>46</v>
      </c>
      <c r="B9" s="8" t="n">
        <f aca="false">ROUND(Cálculo!$B9*Supuestos!$B$2*Supuestos!$B$3*(1+B$17),0)*(Supuestos!$B$4-Supuestos!$B$5)-Supuestos!$B$6</f>
        <v>-1440000</v>
      </c>
      <c r="C9" s="8" t="n">
        <f aca="false">ROUND(Cálculo!$B9*Supuestos!$B$2*Supuestos!$B$3*(1+C$17),0)*(Supuestos!$B$4-Supuestos!$B$5)-Supuestos!$B$6</f>
        <v>1800000</v>
      </c>
      <c r="D9" s="8" t="n">
        <f aca="false">ROUND(Cálculo!$B9*Supuestos!$B$2*Supuestos!$B$3*(1+D$17),0)*(Supuestos!$B$4-Supuestos!$B$5)-Supuestos!$B$6</f>
        <v>3960000</v>
      </c>
      <c r="E9" s="8" t="n">
        <f aca="false">SUM(B$2:B9)</f>
        <v>-7740000</v>
      </c>
      <c r="F9" s="8" t="n">
        <f aca="false">SUM(C$2:C9)</f>
        <v>19800000</v>
      </c>
      <c r="G9" s="8" t="n">
        <f aca="false">SUM(D$2:D9)</f>
        <v>38160000</v>
      </c>
    </row>
    <row r="10" customFormat="false" ht="15" hidden="false" customHeight="false" outlineLevel="0" collapsed="false">
      <c r="A10" s="8" t="s">
        <v>47</v>
      </c>
      <c r="B10" s="8" t="n">
        <f aca="false">ROUND(Cálculo!$B10*Supuestos!$B$2*Supuestos!$B$3*(1+B$17),0)*(Supuestos!$B$4-Supuestos!$B$5)-Supuestos!$B$6</f>
        <v>450000</v>
      </c>
      <c r="C10" s="8" t="n">
        <f aca="false">ROUND(Cálculo!$B10*Supuestos!$B$2*Supuestos!$B$3*(1+C$17),0)*(Supuestos!$B$4-Supuestos!$B$5)-Supuestos!$B$6</f>
        <v>4500000</v>
      </c>
      <c r="D10" s="8" t="n">
        <f aca="false">ROUND(Cálculo!$B10*Supuestos!$B$2*Supuestos!$B$3*(1+D$17),0)*(Supuestos!$B$4-Supuestos!$B$5)-Supuestos!$B$6</f>
        <v>7200000</v>
      </c>
      <c r="E10" s="8" t="n">
        <f aca="false">SUM(B$2:B10)</f>
        <v>-7290000</v>
      </c>
      <c r="F10" s="8" t="n">
        <f aca="false">SUM(C$2:C10)</f>
        <v>24300000</v>
      </c>
      <c r="G10" s="8" t="n">
        <f aca="false">SUM(D$2:D10)</f>
        <v>45360000</v>
      </c>
    </row>
    <row r="11" customFormat="false" ht="15" hidden="false" customHeight="false" outlineLevel="0" collapsed="false">
      <c r="A11" s="8" t="s">
        <v>48</v>
      </c>
      <c r="B11" s="8" t="n">
        <f aca="false">ROUND(Cálculo!$B11*Supuestos!$B$2*Supuestos!$B$3*(1+B$17),0)*(Supuestos!$B$4-Supuestos!$B$5)-Supuestos!$B$6</f>
        <v>-1440000</v>
      </c>
      <c r="C11" s="8" t="n">
        <f aca="false">ROUND(Cálculo!$B11*Supuestos!$B$2*Supuestos!$B$3*(1+C$17),0)*(Supuestos!$B$4-Supuestos!$B$5)-Supuestos!$B$6</f>
        <v>1800000</v>
      </c>
      <c r="D11" s="8" t="n">
        <f aca="false">ROUND(Cálculo!$B11*Supuestos!$B$2*Supuestos!$B$3*(1+D$17),0)*(Supuestos!$B$4-Supuestos!$B$5)-Supuestos!$B$6</f>
        <v>3960000</v>
      </c>
      <c r="E11" s="8" t="n">
        <f aca="false">SUM(B$2:B11)</f>
        <v>-8730000</v>
      </c>
      <c r="F11" s="8" t="n">
        <f aca="false">SUM(C$2:C11)</f>
        <v>26100000</v>
      </c>
      <c r="G11" s="8" t="n">
        <f aca="false">SUM(D$2:D11)</f>
        <v>49320000</v>
      </c>
    </row>
    <row r="12" customFormat="false" ht="15" hidden="false" customHeight="false" outlineLevel="0" collapsed="false">
      <c r="A12" s="8" t="s">
        <v>49</v>
      </c>
      <c r="B12" s="8" t="n">
        <f aca="false">ROUND(Cálculo!$B12*Supuestos!$B$2*Supuestos!$B$3*(1+B$17),0)*(Supuestos!$B$4-Supuestos!$B$5)-Supuestos!$B$6</f>
        <v>-1440000</v>
      </c>
      <c r="C12" s="8" t="n">
        <f aca="false">ROUND(Cálculo!$B12*Supuestos!$B$2*Supuestos!$B$3*(1+C$17),0)*(Supuestos!$B$4-Supuestos!$B$5)-Supuestos!$B$6</f>
        <v>1800000</v>
      </c>
      <c r="D12" s="8" t="n">
        <f aca="false">ROUND(Cálculo!$B12*Supuestos!$B$2*Supuestos!$B$3*(1+D$17),0)*(Supuestos!$B$4-Supuestos!$B$5)-Supuestos!$B$6</f>
        <v>3960000</v>
      </c>
      <c r="E12" s="8" t="n">
        <f aca="false">SUM(B$2:B12)</f>
        <v>-10170000</v>
      </c>
      <c r="F12" s="8" t="n">
        <f aca="false">SUM(C$2:C12)</f>
        <v>27900000</v>
      </c>
      <c r="G12" s="8" t="n">
        <f aca="false">SUM(D$2:D12)</f>
        <v>53280000</v>
      </c>
    </row>
    <row r="13" customFormat="false" ht="15" hidden="false" customHeight="false" outlineLevel="0" collapsed="false">
      <c r="A13" s="8" t="s">
        <v>50</v>
      </c>
      <c r="B13" s="8" t="n">
        <f aca="false">ROUND(Cálculo!$B13*Supuestos!$B$2*Supuestos!$B$3*(1+B$17),0)*(Supuestos!$B$4-Supuestos!$B$5)-Supuestos!$B$6</f>
        <v>450000</v>
      </c>
      <c r="C13" s="8" t="n">
        <f aca="false">ROUND(Cálculo!$B13*Supuestos!$B$2*Supuestos!$B$3*(1+C$17),0)*(Supuestos!$B$4-Supuestos!$B$5)-Supuestos!$B$6</f>
        <v>4500000</v>
      </c>
      <c r="D13" s="8" t="n">
        <f aca="false">ROUND(Cálculo!$B13*Supuestos!$B$2*Supuestos!$B$3*(1+D$17),0)*(Supuestos!$B$4-Supuestos!$B$5)-Supuestos!$B$6</f>
        <v>7200000</v>
      </c>
      <c r="E13" s="8" t="n">
        <f aca="false">SUM(B$2:B13)</f>
        <v>-9720000</v>
      </c>
      <c r="F13" s="8" t="n">
        <f aca="false">SUM(C$2:C13)</f>
        <v>32400000</v>
      </c>
      <c r="G13" s="8" t="n">
        <f aca="false">SUM(D$2:D13)</f>
        <v>60480000</v>
      </c>
    </row>
    <row r="14" customFormat="false" ht="15" hidden="false" customHeight="false" outlineLevel="0" collapsed="false">
      <c r="A14" s="8" t="s">
        <v>62</v>
      </c>
      <c r="B14" s="8" t="n">
        <f aca="false">SUM(B2:B13)</f>
        <v>-9720000</v>
      </c>
      <c r="C14" s="8" t="n">
        <f aca="false">SUM(C2:C13)</f>
        <v>32400000</v>
      </c>
      <c r="D14" s="8" t="n">
        <f aca="false">SUM(D2:D13)</f>
        <v>60480000</v>
      </c>
      <c r="E14" s="8"/>
      <c r="F14" s="8"/>
      <c r="G14" s="8"/>
    </row>
    <row r="15" customFormat="false" ht="15" hidden="false" customHeight="false" outlineLevel="0" collapsed="false">
      <c r="A15" s="8" t="s">
        <v>53</v>
      </c>
      <c r="B15" s="8" t="n">
        <f aca="false">COUNTIF(B2:B13,"&lt;0")</f>
        <v>10</v>
      </c>
      <c r="C15" s="8" t="n">
        <f aca="false">COUNTIF(C2:C13,"&lt;0")</f>
        <v>0</v>
      </c>
      <c r="D15" s="8" t="n">
        <f aca="false">COUNTIF(D2:D13,"&lt;0")</f>
        <v>0</v>
      </c>
      <c r="E15" s="8"/>
      <c r="F15" s="8"/>
      <c r="G15" s="8"/>
    </row>
    <row r="16" customFormat="false" ht="15" hidden="false" customHeight="false" outlineLevel="0" collapsed="false">
      <c r="A16" s="8" t="s">
        <v>54</v>
      </c>
      <c r="B16" s="8" t="n">
        <f aca="false">MAX(0,-MIN(E2:E13))</f>
        <v>10170000</v>
      </c>
      <c r="C16" s="8" t="n">
        <f aca="false">MAX(0,-MIN(F2:F13))</f>
        <v>0</v>
      </c>
      <c r="D16" s="8" t="n">
        <f aca="false">MAX(0,-MIN(G2:G13))</f>
        <v>0</v>
      </c>
      <c r="E16" s="8"/>
      <c r="F16" s="8"/>
      <c r="G16" s="8"/>
    </row>
    <row r="17" customFormat="false" ht="15" hidden="false" customHeight="false" outlineLevel="0" collapsed="false">
      <c r="A17" s="8" t="s">
        <v>63</v>
      </c>
      <c r="B17" s="7" t="n">
        <f aca="false">Supuestos!B8</f>
        <v>-0.3</v>
      </c>
      <c r="C17" s="7" t="n">
        <f aca="false">Supuestos!B9</f>
        <v>0</v>
      </c>
      <c r="D17" s="7" t="n">
        <f aca="false">Supuestos!B10</f>
        <v>0.2</v>
      </c>
      <c r="E17" s="7"/>
      <c r="F17" s="7"/>
      <c r="G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2026-10-17T02:21:23Z</dcterms:created>
  <dc:creator>openpyxl</dc:creator>
  <dc:description/>
  <dc:language>en-US</dc:language>
  <cp:lastModifiedBy/>
  <dcterms:modified xsi:type="dcterms:W3CDTF">2026-10-17T02:21:23Z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